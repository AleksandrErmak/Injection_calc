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185" tabRatio="851" activeTab="2"/>
  </bookViews>
  <sheets>
    <sheet name="Расчет закачки" sheetId="1" r:id="rId1"/>
    <sheet name="Приемистость" sheetId="5" r:id="rId2"/>
    <sheet name="Источник воды" sheetId="2" r:id="rId3"/>
    <sheet name="max. V по источникам" sheetId="9" state="hidden" r:id="rId4"/>
    <sheet name="Объект подготовки" sheetId="3" r:id="rId5"/>
    <sheet name="Водоводы" sheetId="4" r:id="rId6"/>
    <sheet name="Привязка кустов" sheetId="7" r:id="rId7"/>
    <sheet name="Привязка источника" sheetId="10" r:id="rId8"/>
    <sheet name="Даты жизни скв" sheetId="8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9" l="1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F3" i="9"/>
  <c r="F4" i="9"/>
  <c r="F5" i="9"/>
  <c r="F2" i="9"/>
  <c r="I3" i="8" l="1"/>
  <c r="I4" i="8"/>
  <c r="I5" i="8"/>
  <c r="I6" i="8"/>
  <c r="I7" i="8"/>
  <c r="I8" i="8"/>
  <c r="I9" i="8"/>
  <c r="I10" i="8"/>
  <c r="I2" i="8"/>
  <c r="E5" i="8"/>
  <c r="E6" i="8"/>
  <c r="E7" i="8"/>
  <c r="E8" i="8"/>
  <c r="E9" i="8"/>
  <c r="E10" i="8"/>
  <c r="E2" i="8"/>
  <c r="E3" i="8"/>
  <c r="E4" i="8"/>
  <c r="D3" i="8"/>
  <c r="D4" i="8"/>
  <c r="D5" i="8"/>
  <c r="D6" i="8"/>
  <c r="D7" i="8"/>
  <c r="D8" i="8"/>
  <c r="D9" i="8"/>
  <c r="D10" i="8"/>
  <c r="D2" i="8"/>
</calcChain>
</file>

<file path=xl/sharedStrings.xml><?xml version="1.0" encoding="utf-8"?>
<sst xmlns="http://schemas.openxmlformats.org/spreadsheetml/2006/main" count="142" uniqueCount="31">
  <si>
    <t>Скважина</t>
  </si>
  <si>
    <t>Куст</t>
  </si>
  <si>
    <t>Дата ввода</t>
  </si>
  <si>
    <t>Дата перевода в ППД</t>
  </si>
  <si>
    <t>Источник воды</t>
  </si>
  <si>
    <t>Объект подотовки</t>
  </si>
  <si>
    <t>Дата готовность водовода</t>
  </si>
  <si>
    <t>Мах. Отбор воды</t>
  </si>
  <si>
    <t>Мах. Объем подотовки воды</t>
  </si>
  <si>
    <t>Объект</t>
  </si>
  <si>
    <t>Дата подключения</t>
  </si>
  <si>
    <t>5-01</t>
  </si>
  <si>
    <t>68-03</t>
  </si>
  <si>
    <t>12-15</t>
  </si>
  <si>
    <t>17-05</t>
  </si>
  <si>
    <t>13-01</t>
  </si>
  <si>
    <t>13-02</t>
  </si>
  <si>
    <t>13-03</t>
  </si>
  <si>
    <t>14-01</t>
  </si>
  <si>
    <t>14-02</t>
  </si>
  <si>
    <t>МУПН-1</t>
  </si>
  <si>
    <t>МУПН-2</t>
  </si>
  <si>
    <t>КНС</t>
  </si>
  <si>
    <t>МУПН-3</t>
  </si>
  <si>
    <t>Дата ввода объекта</t>
  </si>
  <si>
    <t>Дата подключения к объекту</t>
  </si>
  <si>
    <t>Для объекта</t>
  </si>
  <si>
    <t>1А</t>
  </si>
  <si>
    <t>КП4</t>
  </si>
  <si>
    <t>1A</t>
  </si>
  <si>
    <t>Отборы до план. Периода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</si>
</sst>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14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14" fontId="0" fillId="2" borderId="0" xfId="0" applyNumberFormat="1" applyFill="1"/>
    <xf numFmtId="0" fontId="0" fillId="2" borderId="0" xfId="0" applyFill="1"/>
    <xf numFmtId="14" fontId="0" fillId="0" borderId="0" xfId="0" applyNumberFormat="1" applyFill="1"/>
    <xf numFmtId="1" fontId="0" fillId="2" borderId="0" xfId="0" applyNumberFormat="1" applyFill="1"/>
    <xf numFmtId="0" fontId="1" fillId="0" borderId="0" xfId="0" applyFont="1" applyFill="1"/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M20"/>
  <sheetViews>
    <sheetView zoomScale="90" zoomScaleNormal="90" workbookViewId="0">
      <selection activeCell="BL14" sqref="BL14"/>
    </sheetView>
  </sheetViews>
  <sheetFormatPr defaultRowHeight="15" x14ac:dyDescent="0.25"/>
  <cols>
    <col min="1" max="1" width="11.85546875" customWidth="1"/>
    <col min="2" max="2" width="5.140625" customWidth="1"/>
    <col min="3" max="3" width="11.140625" customWidth="1"/>
    <col min="4" max="4" width="17.140625" customWidth="1"/>
    <col min="5" max="5" width="17.140625" style="10" customWidth="1"/>
    <col min="6" max="65" width="9.7109375" bestFit="1" customWidth="1"/>
  </cols>
  <sheetData>
    <row r="1" spans="1:65" s="1" customFormat="1" ht="12" x14ac:dyDescent="0.2">
      <c r="A1" s="1" t="s">
        <v>0</v>
      </c>
      <c r="B1" s="1" t="s">
        <v>1</v>
      </c>
      <c r="C1" s="1" t="s">
        <v>2</v>
      </c>
      <c r="D1" s="1" t="s">
        <v>3</v>
      </c>
      <c r="E1" s="9"/>
      <c r="F1" s="2">
        <v>45292</v>
      </c>
      <c r="G1" s="2">
        <v>45323</v>
      </c>
      <c r="H1" s="2">
        <v>45352</v>
      </c>
      <c r="I1" s="2">
        <v>45383</v>
      </c>
      <c r="J1" s="2">
        <v>45413</v>
      </c>
      <c r="K1" s="2">
        <v>45444</v>
      </c>
      <c r="L1" s="2">
        <v>45474</v>
      </c>
      <c r="M1" s="2">
        <v>45505</v>
      </c>
      <c r="N1" s="2">
        <v>45536</v>
      </c>
      <c r="O1" s="2">
        <v>45566</v>
      </c>
      <c r="P1" s="2">
        <v>45597</v>
      </c>
      <c r="Q1" s="2">
        <v>45627</v>
      </c>
      <c r="R1" s="2">
        <v>45658</v>
      </c>
      <c r="S1" s="2">
        <v>45689</v>
      </c>
      <c r="T1" s="2">
        <v>45717</v>
      </c>
      <c r="U1" s="2">
        <v>45748</v>
      </c>
      <c r="V1" s="2">
        <v>45778</v>
      </c>
      <c r="W1" s="2">
        <v>45809</v>
      </c>
      <c r="X1" s="2">
        <v>45839</v>
      </c>
      <c r="Y1" s="2">
        <v>45870</v>
      </c>
      <c r="Z1" s="2">
        <v>45901</v>
      </c>
      <c r="AA1" s="2">
        <v>45931</v>
      </c>
      <c r="AB1" s="2">
        <v>45962</v>
      </c>
      <c r="AC1" s="2">
        <v>45992</v>
      </c>
      <c r="AD1" s="2">
        <v>46023</v>
      </c>
      <c r="AE1" s="2">
        <v>46054</v>
      </c>
      <c r="AF1" s="2">
        <v>46082</v>
      </c>
      <c r="AG1" s="2">
        <v>46113</v>
      </c>
      <c r="AH1" s="2">
        <v>46143</v>
      </c>
      <c r="AI1" s="2">
        <v>46174</v>
      </c>
      <c r="AJ1" s="2">
        <v>46204</v>
      </c>
      <c r="AK1" s="2">
        <v>46235</v>
      </c>
      <c r="AL1" s="2">
        <v>46266</v>
      </c>
      <c r="AM1" s="2">
        <v>46296</v>
      </c>
      <c r="AN1" s="2">
        <v>46327</v>
      </c>
      <c r="AO1" s="2">
        <v>46357</v>
      </c>
      <c r="AP1" s="2">
        <v>46388</v>
      </c>
      <c r="AQ1" s="2">
        <v>46419</v>
      </c>
      <c r="AR1" s="2">
        <v>46447</v>
      </c>
      <c r="AS1" s="2">
        <v>46478</v>
      </c>
      <c r="AT1" s="2">
        <v>46508</v>
      </c>
      <c r="AU1" s="2">
        <v>46539</v>
      </c>
      <c r="AV1" s="2">
        <v>46569</v>
      </c>
      <c r="AW1" s="2">
        <v>46600</v>
      </c>
      <c r="AX1" s="2">
        <v>46631</v>
      </c>
      <c r="AY1" s="2">
        <v>46661</v>
      </c>
      <c r="AZ1" s="2">
        <v>46692</v>
      </c>
      <c r="BA1" s="2">
        <v>46722</v>
      </c>
      <c r="BB1" s="2">
        <v>46753</v>
      </c>
      <c r="BC1" s="2">
        <v>46784</v>
      </c>
      <c r="BD1" s="2">
        <v>46813</v>
      </c>
      <c r="BE1" s="2">
        <v>46844</v>
      </c>
      <c r="BF1" s="2">
        <v>46874</v>
      </c>
      <c r="BG1" s="2">
        <v>46905</v>
      </c>
      <c r="BH1" s="2">
        <v>46935</v>
      </c>
      <c r="BI1" s="2">
        <v>46966</v>
      </c>
      <c r="BJ1" s="2">
        <v>46997</v>
      </c>
      <c r="BK1" s="2">
        <v>47027</v>
      </c>
      <c r="BL1" s="2">
        <v>47058</v>
      </c>
      <c r="BM1" s="2">
        <v>47088</v>
      </c>
    </row>
    <row r="2" spans="1:65" x14ac:dyDescent="0.25">
      <c r="A2" s="3" t="s">
        <v>11</v>
      </c>
      <c r="B2">
        <v>5</v>
      </c>
      <c r="C2" s="4">
        <v>44927</v>
      </c>
      <c r="D2" s="4">
        <v>45148</v>
      </c>
      <c r="E2" s="7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</row>
    <row r="3" spans="1:65" x14ac:dyDescent="0.25">
      <c r="A3" s="3" t="s">
        <v>12</v>
      </c>
      <c r="B3">
        <v>68</v>
      </c>
      <c r="C3" s="4">
        <v>44928</v>
      </c>
      <c r="D3" s="4">
        <v>45149</v>
      </c>
      <c r="E3" s="7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</row>
    <row r="4" spans="1:65" x14ac:dyDescent="0.25">
      <c r="A4" s="3" t="s">
        <v>13</v>
      </c>
      <c r="B4">
        <v>12</v>
      </c>
      <c r="C4" s="4">
        <v>44929</v>
      </c>
      <c r="D4" s="7">
        <v>45516</v>
      </c>
      <c r="E4" s="7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</row>
    <row r="5" spans="1:65" x14ac:dyDescent="0.25">
      <c r="A5" s="3" t="s">
        <v>14</v>
      </c>
      <c r="B5">
        <v>17</v>
      </c>
      <c r="C5" s="4">
        <v>44930</v>
      </c>
      <c r="D5" s="4">
        <v>45151</v>
      </c>
      <c r="E5" s="7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</row>
    <row r="6" spans="1:65" x14ac:dyDescent="0.25">
      <c r="A6" s="3" t="s">
        <v>15</v>
      </c>
      <c r="B6">
        <v>13</v>
      </c>
      <c r="C6" s="4">
        <v>44930</v>
      </c>
      <c r="D6" s="5"/>
      <c r="E6" s="7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</row>
    <row r="7" spans="1:65" x14ac:dyDescent="0.25">
      <c r="A7" s="3" t="s">
        <v>16</v>
      </c>
      <c r="B7">
        <v>13</v>
      </c>
      <c r="C7" s="4">
        <v>44930</v>
      </c>
      <c r="D7" s="5"/>
      <c r="E7" s="7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</row>
    <row r="8" spans="1:65" x14ac:dyDescent="0.25">
      <c r="A8" s="3" t="s">
        <v>17</v>
      </c>
      <c r="B8">
        <v>13</v>
      </c>
      <c r="C8" s="4">
        <v>45781</v>
      </c>
      <c r="D8" s="5"/>
      <c r="E8" s="7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</row>
    <row r="9" spans="1:65" x14ac:dyDescent="0.25">
      <c r="A9" s="3" t="s">
        <v>18</v>
      </c>
      <c r="B9">
        <v>14</v>
      </c>
      <c r="C9" s="4">
        <v>44562</v>
      </c>
      <c r="D9" s="7">
        <v>44781</v>
      </c>
      <c r="E9" s="7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</row>
    <row r="10" spans="1:65" x14ac:dyDescent="0.25">
      <c r="A10" s="3" t="s">
        <v>19</v>
      </c>
      <c r="B10">
        <v>14</v>
      </c>
      <c r="C10" s="4">
        <v>44562</v>
      </c>
      <c r="D10" s="5"/>
      <c r="E10" s="7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</row>
    <row r="11" spans="1:65" x14ac:dyDescent="0.25"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</row>
    <row r="12" spans="1:65" x14ac:dyDescent="0.25"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</row>
    <row r="13" spans="1:65" x14ac:dyDescent="0.25"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</row>
    <row r="14" spans="1:65" x14ac:dyDescent="0.25"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</row>
    <row r="15" spans="1:65" x14ac:dyDescent="0.25"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</row>
    <row r="16" spans="1:65" x14ac:dyDescent="0.25"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</row>
    <row r="17" spans="6:65" x14ac:dyDescent="0.25"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</row>
    <row r="18" spans="6:65" x14ac:dyDescent="0.25"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</row>
    <row r="19" spans="6:65" x14ac:dyDescent="0.25"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</row>
    <row r="20" spans="6:65" x14ac:dyDescent="0.25"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M21"/>
  <sheetViews>
    <sheetView topLeftCell="A4" zoomScale="80" zoomScaleNormal="80" workbookViewId="0">
      <selection activeCell="J14" sqref="J14"/>
    </sheetView>
  </sheetViews>
  <sheetFormatPr defaultRowHeight="15" x14ac:dyDescent="0.25"/>
  <cols>
    <col min="1" max="1" width="11.85546875" customWidth="1"/>
    <col min="2" max="2" width="5.140625" customWidth="1"/>
    <col min="3" max="3" width="12.42578125" style="4" customWidth="1"/>
    <col min="4" max="4" width="17.140625" style="4" customWidth="1"/>
    <col min="5" max="5" width="17.140625" customWidth="1"/>
    <col min="6" max="65" width="9.7109375" bestFit="1" customWidth="1"/>
  </cols>
  <sheetData>
    <row r="1" spans="1:65" s="1" customFormat="1" ht="12" x14ac:dyDescent="0.2">
      <c r="A1" s="1" t="s">
        <v>0</v>
      </c>
      <c r="B1" s="1" t="s">
        <v>1</v>
      </c>
      <c r="C1" s="1" t="s">
        <v>2</v>
      </c>
      <c r="D1" s="1" t="s">
        <v>3</v>
      </c>
      <c r="F1" s="2">
        <v>45292</v>
      </c>
      <c r="G1" s="2">
        <v>45323</v>
      </c>
      <c r="H1" s="2">
        <v>45352</v>
      </c>
      <c r="I1" s="2">
        <v>45383</v>
      </c>
      <c r="J1" s="2">
        <v>45413</v>
      </c>
      <c r="K1" s="2">
        <v>45444</v>
      </c>
      <c r="L1" s="2">
        <v>45474</v>
      </c>
      <c r="M1" s="2">
        <v>45505</v>
      </c>
      <c r="N1" s="2">
        <v>45536</v>
      </c>
      <c r="O1" s="2">
        <v>45566</v>
      </c>
      <c r="P1" s="2">
        <v>45597</v>
      </c>
      <c r="Q1" s="2">
        <v>45627</v>
      </c>
      <c r="R1" s="2">
        <v>45658</v>
      </c>
      <c r="S1" s="2">
        <v>45689</v>
      </c>
      <c r="T1" s="2">
        <v>45717</v>
      </c>
      <c r="U1" s="2">
        <v>45748</v>
      </c>
      <c r="V1" s="2">
        <v>45778</v>
      </c>
      <c r="W1" s="2">
        <v>45809</v>
      </c>
      <c r="X1" s="2">
        <v>45839</v>
      </c>
      <c r="Y1" s="2">
        <v>45870</v>
      </c>
      <c r="Z1" s="2">
        <v>45901</v>
      </c>
      <c r="AA1" s="2">
        <v>45931</v>
      </c>
      <c r="AB1" s="2">
        <v>45962</v>
      </c>
      <c r="AC1" s="2">
        <v>45992</v>
      </c>
      <c r="AD1" s="2">
        <v>46023</v>
      </c>
      <c r="AE1" s="2">
        <v>46054</v>
      </c>
      <c r="AF1" s="2">
        <v>46082</v>
      </c>
      <c r="AG1" s="2">
        <v>46113</v>
      </c>
      <c r="AH1" s="2">
        <v>46143</v>
      </c>
      <c r="AI1" s="2">
        <v>46174</v>
      </c>
      <c r="AJ1" s="2">
        <v>46204</v>
      </c>
      <c r="AK1" s="2">
        <v>46235</v>
      </c>
      <c r="AL1" s="2">
        <v>46266</v>
      </c>
      <c r="AM1" s="2">
        <v>46296</v>
      </c>
      <c r="AN1" s="2">
        <v>46327</v>
      </c>
      <c r="AO1" s="2">
        <v>46357</v>
      </c>
      <c r="AP1" s="2">
        <v>46388</v>
      </c>
      <c r="AQ1" s="2">
        <v>46419</v>
      </c>
      <c r="AR1" s="2">
        <v>46447</v>
      </c>
      <c r="AS1" s="2">
        <v>46478</v>
      </c>
      <c r="AT1" s="2">
        <v>46508</v>
      </c>
      <c r="AU1" s="2">
        <v>46539</v>
      </c>
      <c r="AV1" s="2">
        <v>46569</v>
      </c>
      <c r="AW1" s="2">
        <v>46600</v>
      </c>
      <c r="AX1" s="2">
        <v>46631</v>
      </c>
      <c r="AY1" s="2">
        <v>46661</v>
      </c>
      <c r="AZ1" s="2">
        <v>46692</v>
      </c>
      <c r="BA1" s="2">
        <v>46722</v>
      </c>
      <c r="BB1" s="2">
        <v>46753</v>
      </c>
      <c r="BC1" s="2">
        <v>46784</v>
      </c>
      <c r="BD1" s="2">
        <v>46813</v>
      </c>
      <c r="BE1" s="2">
        <v>46844</v>
      </c>
      <c r="BF1" s="2">
        <v>46874</v>
      </c>
      <c r="BG1" s="2">
        <v>46905</v>
      </c>
      <c r="BH1" s="2">
        <v>46935</v>
      </c>
      <c r="BI1" s="2">
        <v>46966</v>
      </c>
      <c r="BJ1" s="2">
        <v>46997</v>
      </c>
      <c r="BK1" s="2">
        <v>47027</v>
      </c>
      <c r="BL1" s="2">
        <v>47058</v>
      </c>
      <c r="BM1" s="2">
        <v>47088</v>
      </c>
    </row>
    <row r="2" spans="1:65" x14ac:dyDescent="0.25">
      <c r="A2" s="3" t="s">
        <v>11</v>
      </c>
      <c r="B2">
        <v>5</v>
      </c>
      <c r="C2" s="4">
        <v>44927</v>
      </c>
      <c r="D2" s="4">
        <v>45148</v>
      </c>
      <c r="E2">
        <v>200</v>
      </c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</row>
    <row r="3" spans="1:65" x14ac:dyDescent="0.25">
      <c r="A3" s="3" t="s">
        <v>12</v>
      </c>
      <c r="B3">
        <v>68</v>
      </c>
      <c r="C3" s="4">
        <v>44928</v>
      </c>
      <c r="D3" s="4">
        <v>45149</v>
      </c>
      <c r="E3">
        <v>150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</row>
    <row r="4" spans="1:65" x14ac:dyDescent="0.25">
      <c r="A4" s="3" t="s">
        <v>13</v>
      </c>
      <c r="B4">
        <v>12</v>
      </c>
      <c r="C4" s="4">
        <v>44929</v>
      </c>
      <c r="D4" s="7">
        <v>45516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</row>
    <row r="5" spans="1:65" x14ac:dyDescent="0.25">
      <c r="A5" s="3" t="s">
        <v>14</v>
      </c>
      <c r="B5">
        <v>17</v>
      </c>
      <c r="C5" s="4">
        <v>44930</v>
      </c>
      <c r="D5" s="4">
        <v>45151</v>
      </c>
      <c r="E5">
        <v>80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</row>
    <row r="6" spans="1:65" x14ac:dyDescent="0.25">
      <c r="A6" s="3" t="s">
        <v>15</v>
      </c>
      <c r="B6">
        <v>13</v>
      </c>
      <c r="C6" s="4">
        <v>44930</v>
      </c>
      <c r="D6" s="5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</row>
    <row r="7" spans="1:65" x14ac:dyDescent="0.25">
      <c r="A7" s="3" t="s">
        <v>16</v>
      </c>
      <c r="B7">
        <v>13</v>
      </c>
      <c r="C7" s="4">
        <v>44930</v>
      </c>
      <c r="D7" s="5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</row>
    <row r="8" spans="1:65" x14ac:dyDescent="0.25">
      <c r="A8" s="3" t="s">
        <v>17</v>
      </c>
      <c r="B8">
        <v>13</v>
      </c>
      <c r="C8" s="4">
        <v>45781</v>
      </c>
      <c r="D8" s="5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</row>
    <row r="9" spans="1:65" x14ac:dyDescent="0.25">
      <c r="A9" s="3" t="s">
        <v>18</v>
      </c>
      <c r="B9">
        <v>14</v>
      </c>
      <c r="C9" s="4">
        <v>44562</v>
      </c>
      <c r="D9" s="7">
        <v>44781</v>
      </c>
      <c r="E9">
        <v>80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</row>
    <row r="10" spans="1:65" x14ac:dyDescent="0.25">
      <c r="A10" s="3" t="s">
        <v>19</v>
      </c>
      <c r="B10">
        <v>14</v>
      </c>
      <c r="C10" s="4">
        <v>44562</v>
      </c>
      <c r="D10" s="5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</row>
    <row r="11" spans="1:65" x14ac:dyDescent="0.25">
      <c r="A11" s="3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</row>
    <row r="12" spans="1:65" x14ac:dyDescent="0.25">
      <c r="A12" s="3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</row>
    <row r="13" spans="1:65" x14ac:dyDescent="0.25">
      <c r="A13" s="3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</row>
    <row r="14" spans="1:65" x14ac:dyDescent="0.25">
      <c r="A14" s="3"/>
    </row>
    <row r="15" spans="1:65" x14ac:dyDescent="0.25">
      <c r="A15" s="3"/>
    </row>
    <row r="17" spans="4:4" x14ac:dyDescent="0.25">
      <c r="D17" s="5"/>
    </row>
    <row r="18" spans="4:4" x14ac:dyDescent="0.25">
      <c r="D18" s="5"/>
    </row>
    <row r="19" spans="4:4" x14ac:dyDescent="0.25">
      <c r="D19" s="5"/>
    </row>
    <row r="20" spans="4:4" x14ac:dyDescent="0.25">
      <c r="D20" s="7"/>
    </row>
    <row r="21" spans="4:4" x14ac:dyDescent="0.25">
      <c r="D21" s="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M10"/>
  <sheetViews>
    <sheetView tabSelected="1" workbookViewId="0">
      <selection activeCell="C6" sqref="C6"/>
    </sheetView>
  </sheetViews>
  <sheetFormatPr defaultRowHeight="15" x14ac:dyDescent="0.25"/>
  <cols>
    <col min="1" max="2" width="13" customWidth="1"/>
    <col min="3" max="5" width="15.42578125" customWidth="1"/>
    <col min="6" max="6" width="10.140625" bestFit="1" customWidth="1"/>
  </cols>
  <sheetData>
    <row r="1" spans="1:65" x14ac:dyDescent="0.25">
      <c r="A1" s="1" t="s">
        <v>4</v>
      </c>
      <c r="B1" s="1" t="s">
        <v>2</v>
      </c>
      <c r="C1" s="1" t="s">
        <v>7</v>
      </c>
      <c r="D1" s="1"/>
      <c r="E1" s="1" t="s">
        <v>30</v>
      </c>
      <c r="F1" s="2">
        <v>45292</v>
      </c>
      <c r="G1" s="2">
        <v>45323</v>
      </c>
      <c r="H1" s="2">
        <v>45352</v>
      </c>
      <c r="I1" s="2">
        <v>45383</v>
      </c>
      <c r="J1" s="2">
        <v>45413</v>
      </c>
      <c r="K1" s="2">
        <v>45444</v>
      </c>
      <c r="L1" s="2">
        <v>45474</v>
      </c>
      <c r="M1" s="2">
        <v>45505</v>
      </c>
      <c r="N1" s="2">
        <v>45536</v>
      </c>
      <c r="O1" s="2">
        <v>45566</v>
      </c>
      <c r="P1" s="2">
        <v>45597</v>
      </c>
      <c r="Q1" s="2">
        <v>45627</v>
      </c>
      <c r="R1" s="2">
        <v>45658</v>
      </c>
      <c r="S1" s="2">
        <v>45689</v>
      </c>
      <c r="T1" s="2">
        <v>45717</v>
      </c>
      <c r="U1" s="2">
        <v>45748</v>
      </c>
      <c r="V1" s="2">
        <v>45778</v>
      </c>
      <c r="W1" s="2">
        <v>45809</v>
      </c>
      <c r="X1" s="2">
        <v>45839</v>
      </c>
      <c r="Y1" s="2">
        <v>45870</v>
      </c>
      <c r="Z1" s="2">
        <v>45901</v>
      </c>
      <c r="AA1" s="2">
        <v>45931</v>
      </c>
      <c r="AB1" s="2">
        <v>45962</v>
      </c>
      <c r="AC1" s="2">
        <v>45992</v>
      </c>
      <c r="AD1" s="2">
        <v>46023</v>
      </c>
      <c r="AE1" s="2">
        <v>46054</v>
      </c>
      <c r="AF1" s="2">
        <v>46082</v>
      </c>
      <c r="AG1" s="2">
        <v>46113</v>
      </c>
      <c r="AH1" s="2">
        <v>46143</v>
      </c>
      <c r="AI1" s="2">
        <v>46174</v>
      </c>
      <c r="AJ1" s="2">
        <v>46204</v>
      </c>
      <c r="AK1" s="2">
        <v>46235</v>
      </c>
      <c r="AL1" s="2">
        <v>46266</v>
      </c>
      <c r="AM1" s="2">
        <v>46296</v>
      </c>
      <c r="AN1" s="2">
        <v>46327</v>
      </c>
      <c r="AO1" s="2">
        <v>46357</v>
      </c>
      <c r="AP1" s="2">
        <v>46388</v>
      </c>
      <c r="AQ1" s="2">
        <v>46419</v>
      </c>
      <c r="AR1" s="2">
        <v>46447</v>
      </c>
      <c r="AS1" s="2">
        <v>46478</v>
      </c>
      <c r="AT1" s="2">
        <v>46508</v>
      </c>
      <c r="AU1" s="2">
        <v>46539</v>
      </c>
      <c r="AV1" s="2">
        <v>46569</v>
      </c>
      <c r="AW1" s="2">
        <v>46600</v>
      </c>
      <c r="AX1" s="2">
        <v>46631</v>
      </c>
      <c r="AY1" s="2">
        <v>46661</v>
      </c>
      <c r="AZ1" s="2">
        <v>46692</v>
      </c>
      <c r="BA1" s="2">
        <v>46722</v>
      </c>
      <c r="BB1" s="2">
        <v>46753</v>
      </c>
      <c r="BC1" s="2">
        <v>46784</v>
      </c>
      <c r="BD1" s="2">
        <v>46813</v>
      </c>
      <c r="BE1" s="2">
        <v>46844</v>
      </c>
      <c r="BF1" s="2">
        <v>46874</v>
      </c>
      <c r="BG1" s="2">
        <v>46905</v>
      </c>
      <c r="BH1" s="2">
        <v>46935</v>
      </c>
      <c r="BI1" s="2">
        <v>46966</v>
      </c>
      <c r="BJ1" s="2">
        <v>46997</v>
      </c>
      <c r="BK1" s="2">
        <v>47027</v>
      </c>
      <c r="BL1" s="2">
        <v>47058</v>
      </c>
      <c r="BM1" s="2">
        <v>47088</v>
      </c>
    </row>
    <row r="2" spans="1:65" x14ac:dyDescent="0.25">
      <c r="A2" t="s">
        <v>27</v>
      </c>
      <c r="B2" s="4">
        <v>42005</v>
      </c>
      <c r="C2">
        <v>1000</v>
      </c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</row>
    <row r="3" spans="1:65" x14ac:dyDescent="0.25">
      <c r="A3" t="s">
        <v>21</v>
      </c>
      <c r="B3" s="4">
        <v>42005</v>
      </c>
      <c r="C3">
        <v>1000</v>
      </c>
      <c r="F3" s="8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</row>
    <row r="4" spans="1:65" x14ac:dyDescent="0.25">
      <c r="A4" t="s">
        <v>23</v>
      </c>
      <c r="B4" s="4">
        <v>45778</v>
      </c>
      <c r="C4">
        <v>1000</v>
      </c>
      <c r="F4" s="8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</row>
    <row r="5" spans="1:65" x14ac:dyDescent="0.25">
      <c r="A5" t="s">
        <v>28</v>
      </c>
      <c r="B5" s="4">
        <v>42005</v>
      </c>
      <c r="C5">
        <v>1000</v>
      </c>
      <c r="F5" s="8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</row>
    <row r="6" spans="1:65" x14ac:dyDescent="0.25">
      <c r="B6" s="4"/>
      <c r="F6" s="8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</row>
    <row r="7" spans="1:65" x14ac:dyDescent="0.25">
      <c r="B7" s="4"/>
      <c r="F7" s="8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</row>
    <row r="8" spans="1:65" x14ac:dyDescent="0.25"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</row>
    <row r="9" spans="1:65" x14ac:dyDescent="0.25"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</row>
    <row r="10" spans="1:65" x14ac:dyDescent="0.25"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BM7"/>
  <sheetViews>
    <sheetView workbookViewId="0">
      <selection activeCell="F2" sqref="F2"/>
    </sheetView>
  </sheetViews>
  <sheetFormatPr defaultRowHeight="15" x14ac:dyDescent="0.25"/>
  <cols>
    <col min="2" max="2" width="10.140625" bestFit="1" customWidth="1"/>
  </cols>
  <sheetData>
    <row r="1" spans="1:65" x14ac:dyDescent="0.25">
      <c r="A1" s="1" t="s">
        <v>4</v>
      </c>
      <c r="B1" s="1" t="s">
        <v>2</v>
      </c>
      <c r="C1" s="1" t="s">
        <v>7</v>
      </c>
      <c r="D1" s="1" t="s">
        <v>26</v>
      </c>
      <c r="E1" s="1" t="s">
        <v>9</v>
      </c>
      <c r="F1" s="2">
        <v>45292</v>
      </c>
      <c r="G1" s="2">
        <v>45323</v>
      </c>
      <c r="H1" s="2">
        <v>45352</v>
      </c>
      <c r="I1" s="2">
        <v>45383</v>
      </c>
      <c r="J1" s="2">
        <v>45413</v>
      </c>
      <c r="K1" s="2">
        <v>45444</v>
      </c>
      <c r="L1" s="2">
        <v>45474</v>
      </c>
      <c r="M1" s="2">
        <v>45505</v>
      </c>
      <c r="N1" s="2">
        <v>45536</v>
      </c>
      <c r="O1" s="2">
        <v>45566</v>
      </c>
      <c r="P1" s="2">
        <v>45597</v>
      </c>
      <c r="Q1" s="2">
        <v>45627</v>
      </c>
      <c r="R1" s="2">
        <v>45658</v>
      </c>
      <c r="S1" s="2">
        <v>45689</v>
      </c>
      <c r="T1" s="2">
        <v>45717</v>
      </c>
      <c r="U1" s="2">
        <v>45748</v>
      </c>
      <c r="V1" s="2">
        <v>45778</v>
      </c>
      <c r="W1" s="2">
        <v>45809</v>
      </c>
      <c r="X1" s="2">
        <v>45839</v>
      </c>
      <c r="Y1" s="2">
        <v>45870</v>
      </c>
      <c r="Z1" s="2">
        <v>45901</v>
      </c>
      <c r="AA1" s="2">
        <v>45931</v>
      </c>
      <c r="AB1" s="2">
        <v>45962</v>
      </c>
      <c r="AC1" s="2">
        <v>45992</v>
      </c>
      <c r="AD1" s="2">
        <v>46023</v>
      </c>
      <c r="AE1" s="2">
        <v>46054</v>
      </c>
      <c r="AF1" s="2">
        <v>46082</v>
      </c>
      <c r="AG1" s="2">
        <v>46113</v>
      </c>
      <c r="AH1" s="2">
        <v>46143</v>
      </c>
      <c r="AI1" s="2">
        <v>46174</v>
      </c>
      <c r="AJ1" s="2">
        <v>46204</v>
      </c>
      <c r="AK1" s="2">
        <v>46235</v>
      </c>
      <c r="AL1" s="2">
        <v>46266</v>
      </c>
      <c r="AM1" s="2">
        <v>46296</v>
      </c>
      <c r="AN1" s="2">
        <v>46327</v>
      </c>
      <c r="AO1" s="2">
        <v>46357</v>
      </c>
      <c r="AP1" s="2">
        <v>46388</v>
      </c>
      <c r="AQ1" s="2">
        <v>46419</v>
      </c>
      <c r="AR1" s="2">
        <v>46447</v>
      </c>
      <c r="AS1" s="2">
        <v>46478</v>
      </c>
      <c r="AT1" s="2">
        <v>46508</v>
      </c>
      <c r="AU1" s="2">
        <v>46539</v>
      </c>
      <c r="AV1" s="2">
        <v>46569</v>
      </c>
      <c r="AW1" s="2">
        <v>46600</v>
      </c>
      <c r="AX1" s="2">
        <v>46631</v>
      </c>
      <c r="AY1" s="2">
        <v>46661</v>
      </c>
      <c r="AZ1" s="2">
        <v>46692</v>
      </c>
      <c r="BA1" s="2">
        <v>46722</v>
      </c>
      <c r="BB1" s="2">
        <v>46753</v>
      </c>
      <c r="BC1" s="2">
        <v>46784</v>
      </c>
      <c r="BD1" s="2">
        <v>46813</v>
      </c>
      <c r="BE1" s="2">
        <v>46844</v>
      </c>
      <c r="BF1" s="2">
        <v>46874</v>
      </c>
      <c r="BG1" s="2">
        <v>46905</v>
      </c>
      <c r="BH1" s="2">
        <v>46935</v>
      </c>
      <c r="BI1" s="2">
        <v>46966</v>
      </c>
      <c r="BJ1" s="2">
        <v>46997</v>
      </c>
      <c r="BK1" s="2">
        <v>47027</v>
      </c>
      <c r="BL1" s="2">
        <v>47058</v>
      </c>
      <c r="BM1" s="2">
        <v>47088</v>
      </c>
    </row>
    <row r="2" spans="1:65" x14ac:dyDescent="0.25">
      <c r="A2" t="s">
        <v>27</v>
      </c>
      <c r="B2" s="4">
        <v>42005</v>
      </c>
      <c r="C2">
        <v>200</v>
      </c>
      <c r="D2" t="s">
        <v>20</v>
      </c>
      <c r="E2" t="s">
        <v>20</v>
      </c>
      <c r="F2">
        <f>SUMIFS($C:$C,$B:$B,"&lt;"&amp;G$1,$D:$D,$E2)</f>
        <v>200</v>
      </c>
      <c r="G2">
        <f t="shared" ref="G2:BM5" si="0">SUMIFS($C:$C,$B:$B,"&lt;"&amp;H$1,$D:$D,$E2)</f>
        <v>200</v>
      </c>
      <c r="H2">
        <f t="shared" si="0"/>
        <v>200</v>
      </c>
      <c r="I2">
        <f t="shared" si="0"/>
        <v>200</v>
      </c>
      <c r="J2">
        <f t="shared" si="0"/>
        <v>200</v>
      </c>
      <c r="K2">
        <f t="shared" si="0"/>
        <v>400</v>
      </c>
      <c r="L2">
        <f t="shared" si="0"/>
        <v>400</v>
      </c>
      <c r="M2">
        <f t="shared" si="0"/>
        <v>400</v>
      </c>
      <c r="N2">
        <f t="shared" si="0"/>
        <v>400</v>
      </c>
      <c r="O2">
        <f t="shared" si="0"/>
        <v>400</v>
      </c>
      <c r="P2">
        <f t="shared" si="0"/>
        <v>400</v>
      </c>
      <c r="Q2">
        <f t="shared" si="0"/>
        <v>400</v>
      </c>
      <c r="R2">
        <f t="shared" si="0"/>
        <v>400</v>
      </c>
      <c r="S2">
        <f t="shared" si="0"/>
        <v>400</v>
      </c>
      <c r="T2">
        <f t="shared" si="0"/>
        <v>400</v>
      </c>
      <c r="U2">
        <f t="shared" si="0"/>
        <v>400</v>
      </c>
      <c r="V2">
        <f t="shared" si="0"/>
        <v>400</v>
      </c>
      <c r="W2">
        <f t="shared" si="0"/>
        <v>400</v>
      </c>
      <c r="X2">
        <f t="shared" si="0"/>
        <v>400</v>
      </c>
      <c r="Y2">
        <f t="shared" si="0"/>
        <v>400</v>
      </c>
      <c r="Z2">
        <f t="shared" si="0"/>
        <v>400</v>
      </c>
      <c r="AA2">
        <f t="shared" si="0"/>
        <v>400</v>
      </c>
      <c r="AB2">
        <f t="shared" si="0"/>
        <v>400</v>
      </c>
      <c r="AC2">
        <f t="shared" si="0"/>
        <v>400</v>
      </c>
      <c r="AD2">
        <f t="shared" si="0"/>
        <v>400</v>
      </c>
      <c r="AE2">
        <f t="shared" si="0"/>
        <v>400</v>
      </c>
      <c r="AF2">
        <f t="shared" si="0"/>
        <v>400</v>
      </c>
      <c r="AG2">
        <f t="shared" si="0"/>
        <v>400</v>
      </c>
      <c r="AH2">
        <f t="shared" si="0"/>
        <v>400</v>
      </c>
      <c r="AI2">
        <f t="shared" si="0"/>
        <v>400</v>
      </c>
      <c r="AJ2">
        <f t="shared" si="0"/>
        <v>400</v>
      </c>
      <c r="AK2">
        <f t="shared" si="0"/>
        <v>400</v>
      </c>
      <c r="AL2">
        <f t="shared" si="0"/>
        <v>400</v>
      </c>
      <c r="AM2">
        <f t="shared" si="0"/>
        <v>400</v>
      </c>
      <c r="AN2">
        <f t="shared" si="0"/>
        <v>400</v>
      </c>
      <c r="AO2">
        <f t="shared" si="0"/>
        <v>400</v>
      </c>
      <c r="AP2">
        <f t="shared" si="0"/>
        <v>400</v>
      </c>
      <c r="AQ2">
        <f t="shared" si="0"/>
        <v>400</v>
      </c>
      <c r="AR2">
        <f t="shared" si="0"/>
        <v>400</v>
      </c>
      <c r="AS2">
        <f t="shared" si="0"/>
        <v>400</v>
      </c>
      <c r="AT2">
        <f t="shared" si="0"/>
        <v>400</v>
      </c>
      <c r="AU2">
        <f t="shared" si="0"/>
        <v>400</v>
      </c>
      <c r="AV2">
        <f t="shared" si="0"/>
        <v>400</v>
      </c>
      <c r="AW2">
        <f t="shared" si="0"/>
        <v>400</v>
      </c>
      <c r="AX2">
        <f t="shared" si="0"/>
        <v>400</v>
      </c>
      <c r="AY2">
        <f t="shared" si="0"/>
        <v>400</v>
      </c>
      <c r="AZ2">
        <f t="shared" si="0"/>
        <v>400</v>
      </c>
      <c r="BA2">
        <f t="shared" si="0"/>
        <v>400</v>
      </c>
      <c r="BB2">
        <f t="shared" si="0"/>
        <v>400</v>
      </c>
      <c r="BC2">
        <f t="shared" si="0"/>
        <v>400</v>
      </c>
      <c r="BD2">
        <f t="shared" si="0"/>
        <v>400</v>
      </c>
      <c r="BE2">
        <f t="shared" si="0"/>
        <v>400</v>
      </c>
      <c r="BF2">
        <f t="shared" si="0"/>
        <v>400</v>
      </c>
      <c r="BG2">
        <f t="shared" si="0"/>
        <v>400</v>
      </c>
      <c r="BH2">
        <f t="shared" si="0"/>
        <v>400</v>
      </c>
      <c r="BI2">
        <f t="shared" si="0"/>
        <v>400</v>
      </c>
      <c r="BJ2">
        <f t="shared" si="0"/>
        <v>400</v>
      </c>
      <c r="BK2">
        <f t="shared" si="0"/>
        <v>400</v>
      </c>
      <c r="BL2">
        <f t="shared" si="0"/>
        <v>400</v>
      </c>
      <c r="BM2">
        <f t="shared" si="0"/>
        <v>0</v>
      </c>
    </row>
    <row r="3" spans="1:65" x14ac:dyDescent="0.25">
      <c r="A3" t="s">
        <v>21</v>
      </c>
      <c r="B3" s="4">
        <v>42005</v>
      </c>
      <c r="C3">
        <v>50</v>
      </c>
      <c r="D3" t="s">
        <v>21</v>
      </c>
      <c r="E3" t="s">
        <v>21</v>
      </c>
      <c r="F3">
        <f t="shared" ref="F3:U5" si="1">SUMIFS($C:$C,$B:$B,"&lt;"&amp;G$1,$D:$D,$E3)</f>
        <v>50</v>
      </c>
      <c r="G3">
        <f t="shared" si="1"/>
        <v>50</v>
      </c>
      <c r="H3">
        <f t="shared" si="1"/>
        <v>50</v>
      </c>
      <c r="I3">
        <f t="shared" si="1"/>
        <v>50</v>
      </c>
      <c r="J3">
        <f t="shared" si="1"/>
        <v>50</v>
      </c>
      <c r="K3">
        <f t="shared" si="1"/>
        <v>50</v>
      </c>
      <c r="L3">
        <f t="shared" si="1"/>
        <v>50</v>
      </c>
      <c r="M3">
        <f t="shared" si="1"/>
        <v>50</v>
      </c>
      <c r="N3">
        <f t="shared" si="1"/>
        <v>50</v>
      </c>
      <c r="O3">
        <f t="shared" si="1"/>
        <v>50</v>
      </c>
      <c r="P3">
        <f t="shared" si="1"/>
        <v>50</v>
      </c>
      <c r="Q3">
        <f t="shared" si="1"/>
        <v>50</v>
      </c>
      <c r="R3">
        <f t="shared" si="1"/>
        <v>50</v>
      </c>
      <c r="S3">
        <f t="shared" si="1"/>
        <v>50</v>
      </c>
      <c r="T3">
        <f t="shared" si="1"/>
        <v>50</v>
      </c>
      <c r="U3">
        <f t="shared" si="1"/>
        <v>50</v>
      </c>
      <c r="V3">
        <f t="shared" si="0"/>
        <v>50</v>
      </c>
      <c r="W3">
        <f t="shared" si="0"/>
        <v>50</v>
      </c>
      <c r="X3">
        <f t="shared" si="0"/>
        <v>50</v>
      </c>
      <c r="Y3">
        <f t="shared" si="0"/>
        <v>50</v>
      </c>
      <c r="Z3">
        <f t="shared" si="0"/>
        <v>50</v>
      </c>
      <c r="AA3">
        <f t="shared" si="0"/>
        <v>50</v>
      </c>
      <c r="AB3">
        <f t="shared" si="0"/>
        <v>50</v>
      </c>
      <c r="AC3">
        <f t="shared" si="0"/>
        <v>50</v>
      </c>
      <c r="AD3">
        <f t="shared" si="0"/>
        <v>50</v>
      </c>
      <c r="AE3">
        <f t="shared" si="0"/>
        <v>50</v>
      </c>
      <c r="AF3">
        <f t="shared" si="0"/>
        <v>50</v>
      </c>
      <c r="AG3">
        <f t="shared" si="0"/>
        <v>50</v>
      </c>
      <c r="AH3">
        <f t="shared" si="0"/>
        <v>50</v>
      </c>
      <c r="AI3">
        <f t="shared" si="0"/>
        <v>50</v>
      </c>
      <c r="AJ3">
        <f t="shared" si="0"/>
        <v>50</v>
      </c>
      <c r="AK3">
        <f t="shared" si="0"/>
        <v>50</v>
      </c>
      <c r="AL3">
        <f t="shared" si="0"/>
        <v>50</v>
      </c>
      <c r="AM3">
        <f t="shared" si="0"/>
        <v>50</v>
      </c>
      <c r="AN3">
        <f t="shared" si="0"/>
        <v>50</v>
      </c>
      <c r="AO3">
        <f t="shared" si="0"/>
        <v>50</v>
      </c>
      <c r="AP3">
        <f t="shared" si="0"/>
        <v>50</v>
      </c>
      <c r="AQ3">
        <f t="shared" si="0"/>
        <v>50</v>
      </c>
      <c r="AR3">
        <f t="shared" si="0"/>
        <v>50</v>
      </c>
      <c r="AS3">
        <f t="shared" si="0"/>
        <v>50</v>
      </c>
      <c r="AT3">
        <f t="shared" si="0"/>
        <v>50</v>
      </c>
      <c r="AU3">
        <f t="shared" si="0"/>
        <v>50</v>
      </c>
      <c r="AV3">
        <f t="shared" si="0"/>
        <v>50</v>
      </c>
      <c r="AW3">
        <f t="shared" si="0"/>
        <v>50</v>
      </c>
      <c r="AX3">
        <f t="shared" si="0"/>
        <v>50</v>
      </c>
      <c r="AY3">
        <f t="shared" si="0"/>
        <v>50</v>
      </c>
      <c r="AZ3">
        <f t="shared" si="0"/>
        <v>50</v>
      </c>
      <c r="BA3">
        <f t="shared" si="0"/>
        <v>50</v>
      </c>
      <c r="BB3">
        <f t="shared" si="0"/>
        <v>50</v>
      </c>
      <c r="BC3">
        <f t="shared" si="0"/>
        <v>50</v>
      </c>
      <c r="BD3">
        <f t="shared" si="0"/>
        <v>50</v>
      </c>
      <c r="BE3">
        <f t="shared" si="0"/>
        <v>50</v>
      </c>
      <c r="BF3">
        <f t="shared" si="0"/>
        <v>50</v>
      </c>
      <c r="BG3">
        <f t="shared" si="0"/>
        <v>50</v>
      </c>
      <c r="BH3">
        <f t="shared" si="0"/>
        <v>50</v>
      </c>
      <c r="BI3">
        <f t="shared" si="0"/>
        <v>50</v>
      </c>
      <c r="BJ3">
        <f t="shared" si="0"/>
        <v>50</v>
      </c>
      <c r="BK3">
        <f t="shared" si="0"/>
        <v>50</v>
      </c>
      <c r="BL3">
        <f t="shared" si="0"/>
        <v>50</v>
      </c>
      <c r="BM3">
        <f t="shared" si="0"/>
        <v>0</v>
      </c>
    </row>
    <row r="4" spans="1:65" x14ac:dyDescent="0.25">
      <c r="A4" t="s">
        <v>29</v>
      </c>
      <c r="B4" s="4">
        <v>45809</v>
      </c>
      <c r="C4">
        <v>200</v>
      </c>
      <c r="D4" t="s">
        <v>22</v>
      </c>
      <c r="E4" t="s">
        <v>22</v>
      </c>
      <c r="F4">
        <f t="shared" si="1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400</v>
      </c>
      <c r="X4">
        <f t="shared" si="0"/>
        <v>400</v>
      </c>
      <c r="Y4">
        <f t="shared" si="0"/>
        <v>400</v>
      </c>
      <c r="Z4">
        <f t="shared" si="0"/>
        <v>400</v>
      </c>
      <c r="AA4">
        <f t="shared" si="0"/>
        <v>400</v>
      </c>
      <c r="AB4">
        <f t="shared" si="0"/>
        <v>400</v>
      </c>
      <c r="AC4">
        <f t="shared" si="0"/>
        <v>400</v>
      </c>
      <c r="AD4">
        <f t="shared" si="0"/>
        <v>400</v>
      </c>
      <c r="AE4">
        <f t="shared" si="0"/>
        <v>400</v>
      </c>
      <c r="AF4">
        <f t="shared" si="0"/>
        <v>400</v>
      </c>
      <c r="AG4">
        <f t="shared" si="0"/>
        <v>400</v>
      </c>
      <c r="AH4">
        <f t="shared" si="0"/>
        <v>400</v>
      </c>
      <c r="AI4">
        <f t="shared" si="0"/>
        <v>400</v>
      </c>
      <c r="AJ4">
        <f t="shared" si="0"/>
        <v>400</v>
      </c>
      <c r="AK4">
        <f t="shared" si="0"/>
        <v>400</v>
      </c>
      <c r="AL4">
        <f t="shared" si="0"/>
        <v>400</v>
      </c>
      <c r="AM4">
        <f t="shared" si="0"/>
        <v>400</v>
      </c>
      <c r="AN4">
        <f t="shared" si="0"/>
        <v>400</v>
      </c>
      <c r="AO4">
        <f t="shared" si="0"/>
        <v>400</v>
      </c>
      <c r="AP4">
        <f t="shared" si="0"/>
        <v>400</v>
      </c>
      <c r="AQ4">
        <f t="shared" si="0"/>
        <v>400</v>
      </c>
      <c r="AR4">
        <f t="shared" si="0"/>
        <v>400</v>
      </c>
      <c r="AS4">
        <f t="shared" si="0"/>
        <v>400</v>
      </c>
      <c r="AT4">
        <f t="shared" si="0"/>
        <v>400</v>
      </c>
      <c r="AU4">
        <f t="shared" si="0"/>
        <v>400</v>
      </c>
      <c r="AV4">
        <f t="shared" si="0"/>
        <v>400</v>
      </c>
      <c r="AW4">
        <f t="shared" si="0"/>
        <v>400</v>
      </c>
      <c r="AX4">
        <f t="shared" si="0"/>
        <v>400</v>
      </c>
      <c r="AY4">
        <f t="shared" si="0"/>
        <v>400</v>
      </c>
      <c r="AZ4">
        <f t="shared" si="0"/>
        <v>400</v>
      </c>
      <c r="BA4">
        <f t="shared" si="0"/>
        <v>400</v>
      </c>
      <c r="BB4">
        <f t="shared" si="0"/>
        <v>400</v>
      </c>
      <c r="BC4">
        <f t="shared" si="0"/>
        <v>400</v>
      </c>
      <c r="BD4">
        <f t="shared" si="0"/>
        <v>400</v>
      </c>
      <c r="BE4">
        <f t="shared" si="0"/>
        <v>400</v>
      </c>
      <c r="BF4">
        <f t="shared" si="0"/>
        <v>400</v>
      </c>
      <c r="BG4">
        <f t="shared" si="0"/>
        <v>400</v>
      </c>
      <c r="BH4">
        <f t="shared" si="0"/>
        <v>400</v>
      </c>
      <c r="BI4">
        <f t="shared" si="0"/>
        <v>400</v>
      </c>
      <c r="BJ4">
        <f t="shared" si="0"/>
        <v>400</v>
      </c>
      <c r="BK4">
        <f t="shared" si="0"/>
        <v>400</v>
      </c>
      <c r="BL4">
        <f t="shared" si="0"/>
        <v>400</v>
      </c>
      <c r="BM4">
        <f t="shared" si="0"/>
        <v>0</v>
      </c>
    </row>
    <row r="5" spans="1:65" x14ac:dyDescent="0.25">
      <c r="A5" t="s">
        <v>23</v>
      </c>
      <c r="B5" s="4">
        <v>45778</v>
      </c>
      <c r="C5">
        <v>250</v>
      </c>
      <c r="D5" t="s">
        <v>23</v>
      </c>
      <c r="E5" t="s">
        <v>23</v>
      </c>
      <c r="F5">
        <f t="shared" si="1"/>
        <v>0</v>
      </c>
      <c r="G5">
        <f t="shared" si="0"/>
        <v>0</v>
      </c>
      <c r="H5">
        <f t="shared" si="0"/>
        <v>0</v>
      </c>
      <c r="I5">
        <f t="shared" si="0"/>
        <v>0</v>
      </c>
      <c r="J5">
        <f t="shared" si="0"/>
        <v>0</v>
      </c>
      <c r="K5">
        <f t="shared" si="0"/>
        <v>0</v>
      </c>
      <c r="L5">
        <f t="shared" si="0"/>
        <v>0</v>
      </c>
      <c r="M5">
        <f t="shared" si="0"/>
        <v>0</v>
      </c>
      <c r="N5">
        <f t="shared" si="0"/>
        <v>0</v>
      </c>
      <c r="O5">
        <f t="shared" si="0"/>
        <v>0</v>
      </c>
      <c r="P5">
        <f t="shared" si="0"/>
        <v>0</v>
      </c>
      <c r="Q5">
        <f t="shared" si="0"/>
        <v>0</v>
      </c>
      <c r="R5">
        <f t="shared" si="0"/>
        <v>0</v>
      </c>
      <c r="S5">
        <f t="shared" si="0"/>
        <v>0</v>
      </c>
      <c r="T5">
        <f t="shared" si="0"/>
        <v>0</v>
      </c>
      <c r="U5">
        <f t="shared" si="0"/>
        <v>0</v>
      </c>
      <c r="V5">
        <f t="shared" si="0"/>
        <v>250</v>
      </c>
      <c r="W5">
        <f t="shared" si="0"/>
        <v>250</v>
      </c>
      <c r="X5">
        <f t="shared" si="0"/>
        <v>250</v>
      </c>
      <c r="Y5">
        <f t="shared" si="0"/>
        <v>250</v>
      </c>
      <c r="Z5">
        <f t="shared" si="0"/>
        <v>250</v>
      </c>
      <c r="AA5">
        <f t="shared" si="0"/>
        <v>250</v>
      </c>
      <c r="AB5">
        <f t="shared" si="0"/>
        <v>250</v>
      </c>
      <c r="AC5">
        <f t="shared" si="0"/>
        <v>250</v>
      </c>
      <c r="AD5">
        <f t="shared" si="0"/>
        <v>250</v>
      </c>
      <c r="AE5">
        <f t="shared" si="0"/>
        <v>250</v>
      </c>
      <c r="AF5">
        <f t="shared" si="0"/>
        <v>250</v>
      </c>
      <c r="AG5">
        <f t="shared" si="0"/>
        <v>250</v>
      </c>
      <c r="AH5">
        <f t="shared" si="0"/>
        <v>250</v>
      </c>
      <c r="AI5">
        <f t="shared" si="0"/>
        <v>250</v>
      </c>
      <c r="AJ5">
        <f t="shared" si="0"/>
        <v>250</v>
      </c>
      <c r="AK5">
        <f t="shared" si="0"/>
        <v>250</v>
      </c>
      <c r="AL5">
        <f t="shared" si="0"/>
        <v>250</v>
      </c>
      <c r="AM5">
        <f t="shared" si="0"/>
        <v>250</v>
      </c>
      <c r="AN5">
        <f t="shared" si="0"/>
        <v>250</v>
      </c>
      <c r="AO5">
        <f t="shared" si="0"/>
        <v>250</v>
      </c>
      <c r="AP5">
        <f t="shared" si="0"/>
        <v>250</v>
      </c>
      <c r="AQ5">
        <f t="shared" si="0"/>
        <v>250</v>
      </c>
      <c r="AR5">
        <f t="shared" si="0"/>
        <v>250</v>
      </c>
      <c r="AS5">
        <f t="shared" si="0"/>
        <v>250</v>
      </c>
      <c r="AT5">
        <f t="shared" si="0"/>
        <v>250</v>
      </c>
      <c r="AU5">
        <f t="shared" si="0"/>
        <v>250</v>
      </c>
      <c r="AV5">
        <f t="shared" si="0"/>
        <v>250</v>
      </c>
      <c r="AW5">
        <f t="shared" si="0"/>
        <v>250</v>
      </c>
      <c r="AX5">
        <f t="shared" si="0"/>
        <v>250</v>
      </c>
      <c r="AY5">
        <f t="shared" si="0"/>
        <v>250</v>
      </c>
      <c r="AZ5">
        <f t="shared" si="0"/>
        <v>250</v>
      </c>
      <c r="BA5">
        <f t="shared" si="0"/>
        <v>250</v>
      </c>
      <c r="BB5">
        <f t="shared" si="0"/>
        <v>250</v>
      </c>
      <c r="BC5">
        <f t="shared" si="0"/>
        <v>250</v>
      </c>
      <c r="BD5">
        <f t="shared" si="0"/>
        <v>250</v>
      </c>
      <c r="BE5">
        <f t="shared" si="0"/>
        <v>250</v>
      </c>
      <c r="BF5">
        <f t="shared" si="0"/>
        <v>250</v>
      </c>
      <c r="BG5">
        <f t="shared" si="0"/>
        <v>250</v>
      </c>
      <c r="BH5">
        <f t="shared" si="0"/>
        <v>250</v>
      </c>
      <c r="BI5">
        <f t="shared" si="0"/>
        <v>250</v>
      </c>
      <c r="BJ5">
        <f t="shared" si="0"/>
        <v>250</v>
      </c>
      <c r="BK5">
        <f t="shared" si="0"/>
        <v>250</v>
      </c>
      <c r="BL5">
        <f t="shared" si="0"/>
        <v>250</v>
      </c>
      <c r="BM5">
        <f t="shared" si="0"/>
        <v>0</v>
      </c>
    </row>
    <row r="6" spans="1:65" x14ac:dyDescent="0.25">
      <c r="A6" t="s">
        <v>28</v>
      </c>
      <c r="B6" s="4">
        <v>45444</v>
      </c>
      <c r="C6">
        <v>200</v>
      </c>
      <c r="D6" t="s">
        <v>20</v>
      </c>
    </row>
    <row r="7" spans="1:65" x14ac:dyDescent="0.25">
      <c r="A7" t="s">
        <v>28</v>
      </c>
      <c r="B7" s="4">
        <v>45809</v>
      </c>
      <c r="C7">
        <v>200</v>
      </c>
      <c r="D7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M6"/>
  <sheetViews>
    <sheetView topLeftCell="A4" workbookViewId="0">
      <selection activeCell="F2" sqref="F2"/>
    </sheetView>
  </sheetViews>
  <sheetFormatPr defaultRowHeight="15" x14ac:dyDescent="0.25"/>
  <cols>
    <col min="1" max="1" width="16" customWidth="1"/>
    <col min="2" max="2" width="11.28515625" customWidth="1"/>
    <col min="3" max="5" width="24.140625" customWidth="1"/>
    <col min="6" max="6" width="21" customWidth="1"/>
  </cols>
  <sheetData>
    <row r="1" spans="1:65" x14ac:dyDescent="0.25">
      <c r="A1" s="1" t="s">
        <v>5</v>
      </c>
      <c r="B1" s="1" t="s">
        <v>2</v>
      </c>
      <c r="C1" s="1" t="s">
        <v>8</v>
      </c>
      <c r="D1" s="1"/>
      <c r="E1" s="1"/>
      <c r="F1" s="2">
        <v>45292</v>
      </c>
      <c r="G1" s="2">
        <v>45323</v>
      </c>
      <c r="H1" s="2">
        <v>45352</v>
      </c>
      <c r="I1" s="2">
        <v>45383</v>
      </c>
      <c r="J1" s="2">
        <v>45413</v>
      </c>
      <c r="K1" s="2">
        <v>45444</v>
      </c>
      <c r="L1" s="2">
        <v>45474</v>
      </c>
      <c r="M1" s="2">
        <v>45505</v>
      </c>
      <c r="N1" s="2">
        <v>45536</v>
      </c>
      <c r="O1" s="2">
        <v>45566</v>
      </c>
      <c r="P1" s="2">
        <v>45597</v>
      </c>
      <c r="Q1" s="2">
        <v>45627</v>
      </c>
      <c r="R1" s="2">
        <v>45658</v>
      </c>
      <c r="S1" s="2">
        <v>45689</v>
      </c>
      <c r="T1" s="2">
        <v>45717</v>
      </c>
      <c r="U1" s="2">
        <v>45748</v>
      </c>
      <c r="V1" s="2">
        <v>45778</v>
      </c>
      <c r="W1" s="2">
        <v>45809</v>
      </c>
      <c r="X1" s="2">
        <v>45839</v>
      </c>
      <c r="Y1" s="2">
        <v>45870</v>
      </c>
      <c r="Z1" s="2">
        <v>45901</v>
      </c>
      <c r="AA1" s="2">
        <v>45931</v>
      </c>
      <c r="AB1" s="2">
        <v>45962</v>
      </c>
      <c r="AC1" s="2">
        <v>45992</v>
      </c>
      <c r="AD1" s="2">
        <v>46023</v>
      </c>
      <c r="AE1" s="2">
        <v>46054</v>
      </c>
      <c r="AF1" s="2">
        <v>46082</v>
      </c>
      <c r="AG1" s="2">
        <v>46113</v>
      </c>
      <c r="AH1" s="2">
        <v>46143</v>
      </c>
      <c r="AI1" s="2">
        <v>46174</v>
      </c>
      <c r="AJ1" s="2">
        <v>46204</v>
      </c>
      <c r="AK1" s="2">
        <v>46235</v>
      </c>
      <c r="AL1" s="2">
        <v>46266</v>
      </c>
      <c r="AM1" s="2">
        <v>46296</v>
      </c>
      <c r="AN1" s="2">
        <v>46327</v>
      </c>
      <c r="AO1" s="2">
        <v>46357</v>
      </c>
      <c r="AP1" s="2">
        <v>46388</v>
      </c>
      <c r="AQ1" s="2">
        <v>46419</v>
      </c>
      <c r="AR1" s="2">
        <v>46447</v>
      </c>
      <c r="AS1" s="2">
        <v>46478</v>
      </c>
      <c r="AT1" s="2">
        <v>46508</v>
      </c>
      <c r="AU1" s="2">
        <v>46539</v>
      </c>
      <c r="AV1" s="2">
        <v>46569</v>
      </c>
      <c r="AW1" s="2">
        <v>46600</v>
      </c>
      <c r="AX1" s="2">
        <v>46631</v>
      </c>
      <c r="AY1" s="2">
        <v>46661</v>
      </c>
      <c r="AZ1" s="2">
        <v>46692</v>
      </c>
      <c r="BA1" s="2">
        <v>46722</v>
      </c>
      <c r="BB1" s="2">
        <v>46753</v>
      </c>
      <c r="BC1" s="2">
        <v>46784</v>
      </c>
      <c r="BD1" s="2">
        <v>46813</v>
      </c>
      <c r="BE1" s="2">
        <v>46844</v>
      </c>
      <c r="BF1" s="2">
        <v>46874</v>
      </c>
      <c r="BG1" s="2">
        <v>46905</v>
      </c>
      <c r="BH1" s="2">
        <v>46935</v>
      </c>
      <c r="BI1" s="2">
        <v>46966</v>
      </c>
      <c r="BJ1" s="2">
        <v>46997</v>
      </c>
      <c r="BK1" s="2">
        <v>47027</v>
      </c>
      <c r="BL1" s="2">
        <v>47058</v>
      </c>
      <c r="BM1" s="2">
        <v>47088</v>
      </c>
    </row>
    <row r="2" spans="1:65" x14ac:dyDescent="0.25">
      <c r="A2" t="s">
        <v>20</v>
      </c>
      <c r="B2" s="4">
        <v>42005</v>
      </c>
      <c r="C2">
        <v>1000</v>
      </c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</row>
    <row r="3" spans="1:65" x14ac:dyDescent="0.25">
      <c r="A3" t="s">
        <v>21</v>
      </c>
      <c r="B3" s="4">
        <v>42005</v>
      </c>
      <c r="C3">
        <v>600</v>
      </c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</row>
    <row r="4" spans="1:65" x14ac:dyDescent="0.25">
      <c r="A4" t="s">
        <v>22</v>
      </c>
      <c r="B4" s="4">
        <v>45809</v>
      </c>
      <c r="C4">
        <v>10000</v>
      </c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</row>
    <row r="5" spans="1:65" x14ac:dyDescent="0.25">
      <c r="A5" t="s">
        <v>23</v>
      </c>
      <c r="B5" s="4">
        <v>42005</v>
      </c>
      <c r="C5">
        <v>300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</row>
    <row r="6" spans="1:65" x14ac:dyDescent="0.25"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B3"/>
  <sheetViews>
    <sheetView workbookViewId="0">
      <selection activeCell="B1" sqref="B1"/>
    </sheetView>
  </sheetViews>
  <sheetFormatPr defaultRowHeight="15" x14ac:dyDescent="0.25"/>
  <cols>
    <col min="2" max="2" width="10.140625" bestFit="1" customWidth="1"/>
  </cols>
  <sheetData>
    <row r="1" spans="1:2" x14ac:dyDescent="0.25">
      <c r="A1" t="s">
        <v>1</v>
      </c>
      <c r="B1" s="1" t="s">
        <v>6</v>
      </c>
    </row>
    <row r="2" spans="1:2" x14ac:dyDescent="0.25">
      <c r="A2">
        <v>13</v>
      </c>
      <c r="B2" s="4">
        <v>45782</v>
      </c>
    </row>
    <row r="3" spans="1:2" x14ac:dyDescent="0.25">
      <c r="A3">
        <v>14</v>
      </c>
      <c r="B3" s="4">
        <v>44686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10"/>
  <sheetViews>
    <sheetView workbookViewId="0">
      <selection activeCell="A4" sqref="A4:XFD9"/>
    </sheetView>
  </sheetViews>
  <sheetFormatPr defaultRowHeight="15" x14ac:dyDescent="0.25"/>
  <cols>
    <col min="3" max="3" width="17.7109375" customWidth="1"/>
    <col min="5" max="5" width="22.85546875" customWidth="1"/>
  </cols>
  <sheetData>
    <row r="1" spans="1:5" x14ac:dyDescent="0.25">
      <c r="A1" t="s">
        <v>1</v>
      </c>
      <c r="B1" t="s">
        <v>9</v>
      </c>
      <c r="C1" t="s">
        <v>10</v>
      </c>
      <c r="D1" t="s">
        <v>9</v>
      </c>
      <c r="E1" t="s">
        <v>10</v>
      </c>
    </row>
    <row r="2" spans="1:5" x14ac:dyDescent="0.25">
      <c r="A2">
        <v>5</v>
      </c>
      <c r="B2" t="s">
        <v>21</v>
      </c>
      <c r="C2" s="4">
        <v>42005</v>
      </c>
      <c r="D2" t="s">
        <v>22</v>
      </c>
      <c r="E2" s="4">
        <v>45809</v>
      </c>
    </row>
    <row r="3" spans="1:5" x14ac:dyDescent="0.25">
      <c r="A3">
        <v>68</v>
      </c>
      <c r="B3" t="s">
        <v>21</v>
      </c>
      <c r="C3" s="4">
        <v>42005</v>
      </c>
      <c r="D3" t="s">
        <v>22</v>
      </c>
      <c r="E3" s="4">
        <v>45809</v>
      </c>
    </row>
    <row r="4" spans="1:5" x14ac:dyDescent="0.25">
      <c r="A4">
        <v>12</v>
      </c>
      <c r="B4" t="s">
        <v>20</v>
      </c>
      <c r="C4" s="4">
        <v>42005</v>
      </c>
      <c r="D4" t="s">
        <v>22</v>
      </c>
      <c r="E4" s="4">
        <v>45809</v>
      </c>
    </row>
    <row r="5" spans="1:5" x14ac:dyDescent="0.25">
      <c r="A5">
        <v>17</v>
      </c>
      <c r="B5" t="s">
        <v>20</v>
      </c>
      <c r="C5" s="4">
        <v>42005</v>
      </c>
      <c r="D5" t="s">
        <v>22</v>
      </c>
      <c r="E5" s="4">
        <v>45809</v>
      </c>
    </row>
    <row r="6" spans="1:5" x14ac:dyDescent="0.25">
      <c r="A6">
        <v>13</v>
      </c>
      <c r="B6" t="s">
        <v>23</v>
      </c>
      <c r="C6" s="4">
        <v>42005</v>
      </c>
      <c r="D6" t="s">
        <v>23</v>
      </c>
      <c r="E6" s="4">
        <v>42005</v>
      </c>
    </row>
    <row r="7" spans="1:5" x14ac:dyDescent="0.25">
      <c r="A7">
        <v>13</v>
      </c>
      <c r="B7" t="s">
        <v>23</v>
      </c>
      <c r="C7" s="4">
        <v>42005</v>
      </c>
      <c r="D7" t="s">
        <v>23</v>
      </c>
      <c r="E7" s="4">
        <v>42005</v>
      </c>
    </row>
    <row r="8" spans="1:5" x14ac:dyDescent="0.25">
      <c r="A8">
        <v>13</v>
      </c>
      <c r="B8" t="s">
        <v>23</v>
      </c>
      <c r="C8" s="4">
        <v>42005</v>
      </c>
      <c r="D8" t="s">
        <v>23</v>
      </c>
      <c r="E8" s="4">
        <v>42005</v>
      </c>
    </row>
    <row r="9" spans="1:5" x14ac:dyDescent="0.25">
      <c r="A9">
        <v>14</v>
      </c>
      <c r="B9" t="s">
        <v>20</v>
      </c>
      <c r="C9" s="4">
        <v>42005</v>
      </c>
      <c r="D9" t="s">
        <v>22</v>
      </c>
      <c r="E9" s="4">
        <v>45809</v>
      </c>
    </row>
    <row r="10" spans="1:5" x14ac:dyDescent="0.25">
      <c r="A10">
        <v>14</v>
      </c>
      <c r="B10" t="s">
        <v>20</v>
      </c>
      <c r="C10" s="4">
        <v>42005</v>
      </c>
      <c r="D10" t="s">
        <v>22</v>
      </c>
      <c r="E10" s="4">
        <v>45809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8"/>
  <sheetViews>
    <sheetView workbookViewId="0">
      <selection activeCell="E17" sqref="E17"/>
    </sheetView>
  </sheetViews>
  <sheetFormatPr defaultRowHeight="15" x14ac:dyDescent="0.25"/>
  <cols>
    <col min="1" max="1" width="20.140625" customWidth="1"/>
    <col min="3" max="3" width="18" customWidth="1"/>
    <col min="5" max="5" width="22.140625" customWidth="1"/>
  </cols>
  <sheetData>
    <row r="1" spans="1:5" x14ac:dyDescent="0.25">
      <c r="A1" t="s">
        <v>4</v>
      </c>
      <c r="B1" t="s">
        <v>9</v>
      </c>
      <c r="C1" t="s">
        <v>10</v>
      </c>
      <c r="D1" t="s">
        <v>9</v>
      </c>
      <c r="E1" t="s">
        <v>10</v>
      </c>
    </row>
    <row r="2" spans="1:5" x14ac:dyDescent="0.25">
      <c r="A2" t="s">
        <v>27</v>
      </c>
      <c r="B2" t="s">
        <v>20</v>
      </c>
      <c r="C2" s="4">
        <v>42005</v>
      </c>
      <c r="D2" t="s">
        <v>22</v>
      </c>
      <c r="E2" s="4">
        <v>45809</v>
      </c>
    </row>
    <row r="3" spans="1:5" x14ac:dyDescent="0.25">
      <c r="A3" t="s">
        <v>21</v>
      </c>
      <c r="B3" t="s">
        <v>21</v>
      </c>
      <c r="C3" s="4">
        <v>42005</v>
      </c>
      <c r="D3" t="s">
        <v>22</v>
      </c>
      <c r="E3" s="4">
        <v>45809</v>
      </c>
    </row>
    <row r="4" spans="1:5" x14ac:dyDescent="0.25">
      <c r="A4" t="s">
        <v>23</v>
      </c>
      <c r="B4" t="s">
        <v>23</v>
      </c>
      <c r="C4" s="4">
        <v>45778</v>
      </c>
      <c r="D4" t="s">
        <v>23</v>
      </c>
      <c r="E4" s="4">
        <v>45778</v>
      </c>
    </row>
    <row r="5" spans="1:5" x14ac:dyDescent="0.25">
      <c r="A5" t="s">
        <v>28</v>
      </c>
      <c r="B5" t="s">
        <v>20</v>
      </c>
      <c r="C5" s="4">
        <v>42005</v>
      </c>
      <c r="D5" t="s">
        <v>22</v>
      </c>
      <c r="E5" s="4">
        <v>45809</v>
      </c>
    </row>
    <row r="6" spans="1:5" x14ac:dyDescent="0.25">
      <c r="C6" s="4"/>
      <c r="E6" s="4"/>
    </row>
    <row r="7" spans="1:5" x14ac:dyDescent="0.25">
      <c r="C7" s="4"/>
      <c r="E7" s="4"/>
    </row>
    <row r="8" spans="1:5" x14ac:dyDescent="0.25">
      <c r="C8" s="4"/>
      <c r="E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10"/>
  <sheetViews>
    <sheetView workbookViewId="0">
      <selection activeCell="H2" sqref="H2:H10"/>
    </sheetView>
  </sheetViews>
  <sheetFormatPr defaultRowHeight="15" x14ac:dyDescent="0.25"/>
  <cols>
    <col min="3" max="3" width="11.42578125" customWidth="1"/>
    <col min="4" max="4" width="24.5703125" customWidth="1"/>
    <col min="5" max="5" width="18.42578125" customWidth="1"/>
    <col min="7" max="7" width="28.42578125" customWidth="1"/>
    <col min="8" max="8" width="18.42578125" customWidth="1"/>
    <col min="9" max="9" width="17.7109375" customWidth="1"/>
    <col min="11" max="11" width="29" customWidth="1"/>
  </cols>
  <sheetData>
    <row r="1" spans="1:11" x14ac:dyDescent="0.25">
      <c r="A1" s="1" t="s">
        <v>0</v>
      </c>
      <c r="B1" s="1" t="s">
        <v>1</v>
      </c>
      <c r="C1" s="1" t="s">
        <v>2</v>
      </c>
      <c r="D1" s="1" t="s">
        <v>6</v>
      </c>
      <c r="E1" s="1" t="s">
        <v>24</v>
      </c>
      <c r="F1" t="s">
        <v>9</v>
      </c>
      <c r="G1" t="s">
        <v>25</v>
      </c>
      <c r="H1" s="1" t="s">
        <v>3</v>
      </c>
      <c r="I1" s="1" t="s">
        <v>24</v>
      </c>
      <c r="J1" t="s">
        <v>9</v>
      </c>
      <c r="K1" t="s">
        <v>25</v>
      </c>
    </row>
    <row r="2" spans="1:11" x14ac:dyDescent="0.25">
      <c r="A2" s="3" t="s">
        <v>11</v>
      </c>
      <c r="B2">
        <v>5</v>
      </c>
      <c r="C2" s="4">
        <v>44927</v>
      </c>
      <c r="D2" s="4" t="str">
        <f>IFERROR(INDEX(Водоводы!B:B,MATCH('Даты жизни скв'!B:B,Водоводы!A:A,0)),"")</f>
        <v/>
      </c>
      <c r="E2" s="4">
        <f>IFERROR(INDEX('Объект подготовки'!B:B,MATCH('Даты жизни скв'!F2,'Объект подготовки'!A:A,0)),"")</f>
        <v>42005</v>
      </c>
      <c r="F2" t="s">
        <v>21</v>
      </c>
      <c r="G2" s="4">
        <v>42005</v>
      </c>
      <c r="H2" s="4">
        <v>45148</v>
      </c>
      <c r="I2" s="4">
        <f>IFERROR(INDEX('Объект подготовки'!B:B,MATCH('Даты жизни скв'!J2,'Объект подготовки'!A:A,0)),"")</f>
        <v>45809</v>
      </c>
      <c r="J2" t="s">
        <v>22</v>
      </c>
      <c r="K2" s="4">
        <v>45809</v>
      </c>
    </row>
    <row r="3" spans="1:11" x14ac:dyDescent="0.25">
      <c r="A3" s="3" t="s">
        <v>12</v>
      </c>
      <c r="B3">
        <v>68</v>
      </c>
      <c r="C3" s="4">
        <v>44928</v>
      </c>
      <c r="D3" s="4" t="str">
        <f>IFERROR(INDEX(Водоводы!B:B,MATCH('Даты жизни скв'!B:B,Водоводы!A:A,0)),"")</f>
        <v/>
      </c>
      <c r="E3" s="4">
        <f>IFERROR(INDEX('Объект подготовки'!B:B,MATCH('Даты жизни скв'!F3,'Объект подготовки'!A:A,0)),"")</f>
        <v>42005</v>
      </c>
      <c r="F3" t="s">
        <v>21</v>
      </c>
      <c r="G3" s="4">
        <v>42005</v>
      </c>
      <c r="H3" s="4">
        <v>45149</v>
      </c>
      <c r="I3" s="4">
        <f>IFERROR(INDEX('Объект подготовки'!B:B,MATCH('Даты жизни скв'!J3,'Объект подготовки'!A:A,0)),"")</f>
        <v>45809</v>
      </c>
      <c r="J3" t="s">
        <v>22</v>
      </c>
      <c r="K3" s="4">
        <v>45809</v>
      </c>
    </row>
    <row r="4" spans="1:11" x14ac:dyDescent="0.25">
      <c r="A4" s="3" t="s">
        <v>13</v>
      </c>
      <c r="B4">
        <v>12</v>
      </c>
      <c r="C4" s="4">
        <v>44929</v>
      </c>
      <c r="D4" s="4" t="str">
        <f>IFERROR(INDEX(Водоводы!B:B,MATCH('Даты жизни скв'!B:B,Водоводы!A:A,0)),"")</f>
        <v/>
      </c>
      <c r="E4" s="4">
        <f>IFERROR(INDEX('Объект подготовки'!B:B,MATCH('Даты жизни скв'!F4,'Объект подготовки'!A:A,0)),"")</f>
        <v>42005</v>
      </c>
      <c r="F4" t="s">
        <v>20</v>
      </c>
      <c r="G4" s="4">
        <v>42005</v>
      </c>
      <c r="H4" s="4">
        <v>45516</v>
      </c>
      <c r="I4" s="4">
        <f>IFERROR(INDEX('Объект подготовки'!B:B,MATCH('Даты жизни скв'!J4,'Объект подготовки'!A:A,0)),"")</f>
        <v>45809</v>
      </c>
      <c r="J4" t="s">
        <v>22</v>
      </c>
      <c r="K4" s="4">
        <v>45809</v>
      </c>
    </row>
    <row r="5" spans="1:11" x14ac:dyDescent="0.25">
      <c r="A5" s="3" t="s">
        <v>14</v>
      </c>
      <c r="B5">
        <v>17</v>
      </c>
      <c r="C5" s="4">
        <v>44930</v>
      </c>
      <c r="D5" s="4" t="str">
        <f>IFERROR(INDEX(Водоводы!B:B,MATCH('Даты жизни скв'!B:B,Водоводы!A:A,0)),"")</f>
        <v/>
      </c>
      <c r="E5" s="4">
        <f>IFERROR(INDEX('Объект подготовки'!B:B,MATCH('Даты жизни скв'!F5,'Объект подготовки'!A:A,0)),"")</f>
        <v>42005</v>
      </c>
      <c r="F5" t="s">
        <v>20</v>
      </c>
      <c r="G5" s="4">
        <v>42005</v>
      </c>
      <c r="H5" s="4">
        <v>45151</v>
      </c>
      <c r="I5" s="4">
        <f>IFERROR(INDEX('Объект подготовки'!B:B,MATCH('Даты жизни скв'!J5,'Объект подготовки'!A:A,0)),"")</f>
        <v>45809</v>
      </c>
      <c r="J5" t="s">
        <v>22</v>
      </c>
      <c r="K5" s="4">
        <v>45809</v>
      </c>
    </row>
    <row r="6" spans="1:11" x14ac:dyDescent="0.25">
      <c r="A6" s="3" t="s">
        <v>15</v>
      </c>
      <c r="B6">
        <v>13</v>
      </c>
      <c r="C6" s="4">
        <v>44930</v>
      </c>
      <c r="D6" s="4">
        <f>IFERROR(INDEX(Водоводы!B:B,MATCH('Даты жизни скв'!B:B,Водоводы!A:A,0)),"")</f>
        <v>45782</v>
      </c>
      <c r="E6" s="4">
        <f>IFERROR(INDEX('Объект подготовки'!B:B,MATCH('Даты жизни скв'!F6,'Объект подготовки'!A:A,0)),"")</f>
        <v>42005</v>
      </c>
      <c r="F6" t="s">
        <v>23</v>
      </c>
      <c r="G6" s="4">
        <v>42005</v>
      </c>
      <c r="H6" s="5"/>
      <c r="I6" s="4">
        <f>IFERROR(INDEX('Объект подготовки'!B:B,MATCH('Даты жизни скв'!J6,'Объект подготовки'!A:A,0)),"")</f>
        <v>42005</v>
      </c>
      <c r="J6" t="s">
        <v>23</v>
      </c>
      <c r="K6" s="4">
        <v>42005</v>
      </c>
    </row>
    <row r="7" spans="1:11" x14ac:dyDescent="0.25">
      <c r="A7" s="3" t="s">
        <v>16</v>
      </c>
      <c r="B7">
        <v>13</v>
      </c>
      <c r="C7" s="4">
        <v>44930</v>
      </c>
      <c r="D7" s="4">
        <f>IFERROR(INDEX(Водоводы!B:B,MATCH('Даты жизни скв'!B:B,Водоводы!A:A,0)),"")</f>
        <v>45782</v>
      </c>
      <c r="E7" s="4">
        <f>IFERROR(INDEX('Объект подготовки'!B:B,MATCH('Даты жизни скв'!F7,'Объект подготовки'!A:A,0)),"")</f>
        <v>42005</v>
      </c>
      <c r="F7" t="s">
        <v>23</v>
      </c>
      <c r="G7" s="4">
        <v>42005</v>
      </c>
      <c r="H7" s="5"/>
      <c r="I7" s="4">
        <f>IFERROR(INDEX('Объект подготовки'!B:B,MATCH('Даты жизни скв'!J7,'Объект подготовки'!A:A,0)),"")</f>
        <v>42005</v>
      </c>
      <c r="J7" t="s">
        <v>23</v>
      </c>
      <c r="K7" s="4">
        <v>42005</v>
      </c>
    </row>
    <row r="8" spans="1:11" x14ac:dyDescent="0.25">
      <c r="A8" s="3" t="s">
        <v>17</v>
      </c>
      <c r="B8">
        <v>13</v>
      </c>
      <c r="C8" s="4">
        <v>45781</v>
      </c>
      <c r="D8" s="4">
        <f>IFERROR(INDEX(Водоводы!B:B,MATCH('Даты жизни скв'!B:B,Водоводы!A:A,0)),"")</f>
        <v>45782</v>
      </c>
      <c r="E8" s="4">
        <f>IFERROR(INDEX('Объект подготовки'!B:B,MATCH('Даты жизни скв'!F8,'Объект подготовки'!A:A,0)),"")</f>
        <v>42005</v>
      </c>
      <c r="F8" t="s">
        <v>23</v>
      </c>
      <c r="G8" s="4">
        <v>42005</v>
      </c>
      <c r="H8" s="5"/>
      <c r="I8" s="4">
        <f>IFERROR(INDEX('Объект подготовки'!B:B,MATCH('Даты жизни скв'!J8,'Объект подготовки'!A:A,0)),"")</f>
        <v>42005</v>
      </c>
      <c r="J8" t="s">
        <v>23</v>
      </c>
      <c r="K8" s="4">
        <v>42005</v>
      </c>
    </row>
    <row r="9" spans="1:11" x14ac:dyDescent="0.25">
      <c r="A9" s="3" t="s">
        <v>18</v>
      </c>
      <c r="B9">
        <v>14</v>
      </c>
      <c r="C9" s="4">
        <v>44562</v>
      </c>
      <c r="D9" s="4">
        <f>IFERROR(INDEX(Водоводы!B:B,MATCH('Даты жизни скв'!B:B,Водоводы!A:A,0)),"")</f>
        <v>44686</v>
      </c>
      <c r="E9" s="4">
        <f>IFERROR(INDEX('Объект подготовки'!B:B,MATCH('Даты жизни скв'!F9,'Объект подготовки'!A:A,0)),"")</f>
        <v>42005</v>
      </c>
      <c r="F9" t="s">
        <v>20</v>
      </c>
      <c r="G9" s="4">
        <v>42005</v>
      </c>
      <c r="H9" s="7">
        <v>44781</v>
      </c>
      <c r="I9" s="4">
        <f>IFERROR(INDEX('Объект подготовки'!B:B,MATCH('Даты жизни скв'!J9,'Объект подготовки'!A:A,0)),"")</f>
        <v>45809</v>
      </c>
      <c r="J9" t="s">
        <v>22</v>
      </c>
      <c r="K9" s="4">
        <v>45809</v>
      </c>
    </row>
    <row r="10" spans="1:11" x14ac:dyDescent="0.25">
      <c r="A10" s="3" t="s">
        <v>19</v>
      </c>
      <c r="B10">
        <v>14</v>
      </c>
      <c r="C10" s="4">
        <v>44562</v>
      </c>
      <c r="D10" s="4">
        <f>IFERROR(INDEX(Водоводы!B:B,MATCH('Даты жизни скв'!B:B,Водоводы!A:A,0)),"")</f>
        <v>44686</v>
      </c>
      <c r="E10" s="4">
        <f>IFERROR(INDEX('Объект подготовки'!B:B,MATCH('Даты жизни скв'!F10,'Объект подготовки'!A:A,0)),"")</f>
        <v>42005</v>
      </c>
      <c r="F10" t="s">
        <v>20</v>
      </c>
      <c r="G10" s="4">
        <v>42005</v>
      </c>
      <c r="H10" s="5"/>
      <c r="I10" s="4">
        <f>IFERROR(INDEX('Объект подготовки'!B:B,MATCH('Даты жизни скв'!J10,'Объект подготовки'!A:A,0)),"")</f>
        <v>45809</v>
      </c>
      <c r="J10" t="s">
        <v>22</v>
      </c>
      <c r="K10" s="4">
        <v>45809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Расчет закачки</vt:lpstr>
      <vt:lpstr>Приемистость</vt:lpstr>
      <vt:lpstr>Источник воды</vt:lpstr>
      <vt:lpstr>max. V по источникам</vt:lpstr>
      <vt:lpstr>Объект подготовки</vt:lpstr>
      <vt:lpstr>Водоводы</vt:lpstr>
      <vt:lpstr>Привязка кустов</vt:lpstr>
      <vt:lpstr>Привязка источника</vt:lpstr>
      <vt:lpstr>Даты жизни скв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</dc:creator>
  <cp:lastModifiedBy>Александр</cp:lastModifiedBy>
  <dcterms:created xsi:type="dcterms:W3CDTF">2023-10-15T15:31:02Z</dcterms:created>
  <dcterms:modified xsi:type="dcterms:W3CDTF">2023-11-06T18:33:33Z</dcterms:modified>
</cp:coreProperties>
</file>